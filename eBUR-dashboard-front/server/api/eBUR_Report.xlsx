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Отчеты" sheetId="1" state="visible" r:id="rId3"/>
    <sheet name="Отчет по рейсам(1)" sheetId="2" state="visible" r:id="rId4"/>
    <sheet name="Отчет по автопарку(2)" sheetId="3" state="visible" r:id="rId5"/>
    <sheet name="Финансовый отчет(3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<sst xmlns="http://schemas.openxmlformats.org/spreadsheetml/2006/main" count="314" uniqueCount="173">
  <si>
    <t xml:space="preserve">№</t>
  </si>
  <si>
    <t xml:space="preserve">Название отчёта</t>
  </si>
  <si>
    <t xml:space="preserve">Цель</t>
  </si>
  <si>
    <t xml:space="preserve">Отчёт по рейсам</t>
  </si>
  <si>
    <t xml:space="preserve">Анализ выполнения рейсов: количество, статусы, отклонения, выручка. Позволяет оценить загрузку водителей и транспорта, выявить причины отмен.</t>
  </si>
  <si>
    <t xml:space="preserve">Отчёт по автопарку и использованию техники</t>
  </si>
  <si>
    <t xml:space="preserve">Контроль состояния транспорта, загрузки парка, простоев, назначений. Помогает оптимизировать количество техники и планировать ремонты.</t>
  </si>
  <si>
    <t xml:space="preserve">Финансовый отчёт (доходы, расходы, прибыль)</t>
  </si>
  <si>
    <t xml:space="preserve">Оценка финансовой эффективности перевозок: выручка, затраты (топливо, ремонт, зарплата, штрафы), маржинальность по клиентам, водителям, единицам техники.</t>
  </si>
  <si>
    <t xml:space="preserve">Отчёт по простоям и эффективности</t>
  </si>
  <si>
    <t xml:space="preserve">Выявление причин и стоимости простоев, анализ загрузки водителей и техники. Цель – снижение потерь и повышение производительности.</t>
  </si>
  <si>
    <t xml:space="preserve">Отчёт по ТО и ремонтам</t>
  </si>
  <si>
    <t xml:space="preserve">Планирование и учёт технического обслуживания, контроль затрат на ремонт, отслеживание простоев из-за поломок.</t>
  </si>
  <si>
    <t xml:space="preserve">Отчет по рейсам</t>
  </si>
  <si>
    <t xml:space="preserve">Период: 01.05.2026 – 10.05.2026</t>
  </si>
  <si>
    <t xml:space="preserve">Дата выгрузки: 14.05.2026 14:30</t>
  </si>
  <si>
    <t xml:space="preserve">Статус: все</t>
  </si>
  <si>
    <t xml:space="preserve">Транспорт: все</t>
  </si>
  <si>
    <t xml:space="preserve">Водитель: все</t>
  </si>
  <si>
    <t xml:space="preserve">Всего рейсов</t>
  </si>
  <si>
    <t xml:space="preserve">Завершено</t>
  </si>
  <si>
    <t xml:space="preserve">Отменено</t>
  </si>
  <si>
    <t xml:space="preserve">Выручка</t>
  </si>
  <si>
    <t xml:space="preserve">Прибыль</t>
  </si>
  <si>
    <t xml:space="preserve">Расходы на топливо</t>
  </si>
  <si>
    <t xml:space="preserve">Зарплата водителям</t>
  </si>
  <si>
    <r>
      <rPr>
        <sz val="11"/>
        <color theme="1"/>
        <rFont val="Calibri"/>
        <family val="2"/>
        <charset val="204"/>
      </rPr>
      <t xml:space="preserve"> </t>
    </r>
    <r>
      <rPr>
        <sz val="11"/>
        <color rgb="FF92D050"/>
        <rFont val="Calibri"/>
        <family val="2"/>
        <charset val="204"/>
      </rPr>
      <t xml:space="preserve">▲</t>
    </r>
    <r>
      <rPr>
        <sz val="11"/>
        <color theme="1"/>
        <rFont val="Calibri"/>
        <family val="2"/>
        <charset val="204"/>
      </rPr>
      <t xml:space="preserve"> +2</t>
    </r>
  </si>
  <si>
    <r>
      <rPr>
        <sz val="11"/>
        <color rgb="FF92D050"/>
        <rFont val="Calibri"/>
        <family val="2"/>
        <charset val="204"/>
      </rPr>
      <t xml:space="preserve">▲</t>
    </r>
    <r>
      <rPr>
        <sz val="11"/>
        <color theme="1"/>
        <rFont val="Calibri"/>
        <family val="2"/>
        <charset val="204"/>
      </rPr>
      <t xml:space="preserve"> +1</t>
    </r>
  </si>
  <si>
    <r>
      <rPr>
        <sz val="11"/>
        <color rgb="FFFF0000"/>
        <rFont val="Calibri"/>
        <family val="2"/>
        <charset val="204"/>
      </rPr>
      <t xml:space="preserve">▲</t>
    </r>
    <r>
      <rPr>
        <sz val="11"/>
        <color theme="1"/>
        <rFont val="Calibri"/>
        <family val="2"/>
        <charset val="204"/>
      </rPr>
      <t xml:space="preserve"> +1</t>
    </r>
  </si>
  <si>
    <r>
      <rPr>
        <sz val="11"/>
        <color rgb="FF92D050"/>
        <rFont val="Calibri"/>
        <family val="2"/>
        <charset val="204"/>
      </rPr>
      <t xml:space="preserve">▲</t>
    </r>
    <r>
      <rPr>
        <sz val="11"/>
        <color theme="1"/>
        <rFont val="Calibri"/>
        <family val="2"/>
        <charset val="1"/>
      </rPr>
      <t xml:space="preserve"> +8% </t>
    </r>
  </si>
  <si>
    <r>
      <rPr>
        <sz val="11"/>
        <color rgb="FF92D050"/>
        <rFont val="Calibri"/>
        <family val="2"/>
        <charset val="204"/>
      </rPr>
      <t xml:space="preserve">▲</t>
    </r>
    <r>
      <rPr>
        <sz val="11"/>
        <color theme="1"/>
        <rFont val="Calibri"/>
        <family val="2"/>
        <charset val="1"/>
      </rPr>
      <t xml:space="preserve"> +12% </t>
    </r>
  </si>
  <si>
    <r>
      <rPr>
        <sz val="11"/>
        <color rgb="FF92D050"/>
        <rFont val="Calibri"/>
        <family val="2"/>
        <charset val="204"/>
      </rPr>
      <t xml:space="preserve">▼</t>
    </r>
    <r>
      <rPr>
        <sz val="11"/>
        <color theme="1"/>
        <rFont val="Calibri"/>
        <family val="2"/>
        <charset val="1"/>
      </rPr>
      <t xml:space="preserve"> −2%</t>
    </r>
  </si>
  <si>
    <r>
      <rPr>
        <sz val="11"/>
        <color rgb="FF92D050"/>
        <rFont val="Calibri"/>
        <family val="2"/>
        <charset val="204"/>
      </rPr>
      <t xml:space="preserve">▲</t>
    </r>
    <r>
      <rPr>
        <sz val="11"/>
        <color theme="1"/>
        <rFont val="Calibri"/>
        <family val="2"/>
        <charset val="1"/>
      </rPr>
      <t xml:space="preserve"> +5%</t>
    </r>
  </si>
  <si>
    <r>
      <rPr>
        <sz val="11"/>
        <color theme="1"/>
        <rFont val="Calibri"/>
        <family val="2"/>
        <charset val="204"/>
      </rPr>
      <t xml:space="preserve">Динамика (</t>
    </r>
    <r>
      <rPr>
        <sz val="11"/>
        <rFont val="Calibri"/>
        <family val="2"/>
        <charset val="204"/>
      </rPr>
      <t xml:space="preserve">▲▼)</t>
    </r>
    <r>
      <rPr>
        <sz val="11"/>
        <color theme="1"/>
        <rFont val="Calibri"/>
        <family val="2"/>
        <charset val="204"/>
      </rPr>
      <t xml:space="preserve"> — сравнение с предыдущим аналогичным периодом (21.04–30.04.2026)</t>
    </r>
  </si>
  <si>
    <t xml:space="preserve">ID рейса</t>
  </si>
  <si>
    <t xml:space="preserve">Дата создания</t>
  </si>
  <si>
    <t xml:space="preserve">Дата завершения</t>
  </si>
  <si>
    <t xml:space="preserve">Транспорт 	</t>
  </si>
  <si>
    <t xml:space="preserve">Водитель</t>
  </si>
  <si>
    <t xml:space="preserve">Маршрут (Откуда - Куда)</t>
  </si>
  <si>
    <t xml:space="preserve">Материал</t>
  </si>
  <si>
    <t xml:space="preserve">Статус</t>
  </si>
  <si>
    <t xml:space="preserve">Причина отмены</t>
  </si>
  <si>
    <t xml:space="preserve">Плановая длительность (чч:мм)</t>
  </si>
  <si>
    <t xml:space="preserve">Фактическая длительность (чч:мм)</t>
  </si>
  <si>
    <t xml:space="preserve">Отклонение</t>
  </si>
  <si>
    <t xml:space="preserve">Выручка за рейс</t>
  </si>
  <si>
    <t xml:space="preserve">Стоимость материала</t>
  </si>
  <si>
    <t xml:space="preserve">Зарплата водителя</t>
  </si>
  <si>
    <t xml:space="preserve">R-001</t>
  </si>
  <si>
    <t xml:space="preserve">А123ВС</t>
  </si>
  <si>
    <t xml:space="preserve">Иванов И.</t>
  </si>
  <si>
    <t xml:space="preserve">Екатеринбург – Казань</t>
  </si>
  <si>
    <t xml:space="preserve">Щебень</t>
  </si>
  <si>
    <t xml:space="preserve">Завершён</t>
  </si>
  <si>
    <t xml:space="preserve">—</t>
  </si>
  <si>
    <t xml:space="preserve">30 мин</t>
  </si>
  <si>
    <t xml:space="preserve">R-002</t>
  </si>
  <si>
    <t xml:space="preserve">В456ЕК</t>
  </si>
  <si>
    <t xml:space="preserve">Петров П.</t>
  </si>
  <si>
    <t xml:space="preserve">Карьер Приморский – Волгоградская 87</t>
  </si>
  <si>
    <t xml:space="preserve">Песок</t>
  </si>
  <si>
    <t xml:space="preserve">Отменён</t>
  </si>
  <si>
    <t xml:space="preserve">Поломка ТС</t>
  </si>
  <si>
    <t xml:space="preserve">R-003</t>
  </si>
  <si>
    <t xml:space="preserve">С789ОР</t>
  </si>
  <si>
    <t xml:space="preserve">Сидоров С.</t>
  </si>
  <si>
    <t xml:space="preserve">Карьер Южный – Стройка №1</t>
  </si>
  <si>
    <t xml:space="preserve">12 мин</t>
  </si>
  <si>
    <t xml:space="preserve">R-004</t>
  </si>
  <si>
    <t xml:space="preserve">Екатеринбург – Челябинск</t>
  </si>
  <si>
    <t xml:space="preserve">75 мин</t>
  </si>
  <si>
    <t xml:space="preserve">R-005</t>
  </si>
  <si>
    <t xml:space="preserve">D111ЕЕ</t>
  </si>
  <si>
    <t xml:space="preserve">Воробьёв А.</t>
  </si>
  <si>
    <t xml:space="preserve">Карьер Северный – Объект 45</t>
  </si>
  <si>
    <t xml:space="preserve">ПГС</t>
  </si>
  <si>
    <t xml:space="preserve">50 мин</t>
  </si>
  <si>
    <t xml:space="preserve">R-006</t>
  </si>
  <si>
    <t xml:space="preserve">Карьер Приморский – Объект 12</t>
  </si>
  <si>
    <t xml:space="preserve">Нет ЭТрН</t>
  </si>
  <si>
    <t xml:space="preserve">R-007</t>
  </si>
  <si>
    <t xml:space="preserve">Екатеринбург – Пермь</t>
  </si>
  <si>
    <t xml:space="preserve">60 мин</t>
  </si>
  <si>
    <t xml:space="preserve">R-008</t>
  </si>
  <si>
    <t xml:space="preserve">Карьер Южный – Объект 7</t>
  </si>
  <si>
    <t xml:space="preserve">R-009</t>
  </si>
  <si>
    <t xml:space="preserve">Карьер Северный – Стройка №3</t>
  </si>
  <si>
    <t xml:space="preserve">0 мин</t>
  </si>
  <si>
    <t xml:space="preserve">R-010</t>
  </si>
  <si>
    <t xml:space="preserve">Е999ХХ</t>
  </si>
  <si>
    <t xml:space="preserve">Семёнов С.</t>
  </si>
  <si>
    <t xml:space="preserve">Карьер Восточный – Объект 9</t>
  </si>
  <si>
    <t xml:space="preserve">Отказ водителя</t>
  </si>
  <si>
    <t xml:space="preserve">Итого:</t>
  </si>
  <si>
    <t xml:space="preserve">50 ч 30 мин</t>
  </si>
  <si>
    <t xml:space="preserve">48 ч 02 мин</t>
  </si>
  <si>
    <t xml:space="preserve">302 мин</t>
  </si>
  <si>
    <t xml:space="preserve">Отчет по автопарку</t>
  </si>
  <si>
    <t xml:space="preserve">Тип техники: все</t>
  </si>
  <si>
    <t xml:space="preserve">Статус ТС: все</t>
  </si>
  <si>
    <t xml:space="preserve">Единиц техники</t>
  </si>
  <si>
    <t xml:space="preserve">В работе</t>
  </si>
  <si>
    <t xml:space="preserve">Простой</t>
  </si>
  <si>
    <t xml:space="preserve">Ремонт</t>
  </si>
  <si>
    <t xml:space="preserve">Ср. загрузка</t>
  </si>
  <si>
    <t xml:space="preserve">Стоимость простоев</t>
  </si>
  <si>
    <t xml:space="preserve">Расход топлива</t>
  </si>
  <si>
    <t xml:space="preserve">Время простоев</t>
  </si>
  <si>
    <t xml:space="preserve">Пробег</t>
  </si>
  <si>
    <t xml:space="preserve">644 ч</t>
  </si>
  <si>
    <t xml:space="preserve">12500 км</t>
  </si>
  <si>
    <r>
      <rPr>
        <sz val="11"/>
        <color rgb="FF92D050"/>
        <rFont val="Calibri"/>
        <family val="2"/>
        <charset val="204"/>
      </rPr>
      <t xml:space="preserve">▲</t>
    </r>
    <r>
      <rPr>
        <sz val="11"/>
        <color theme="1"/>
        <rFont val="Calibri"/>
        <family val="2"/>
        <charset val="1"/>
      </rPr>
      <t xml:space="preserve"> +1</t>
    </r>
  </si>
  <si>
    <r>
      <rPr>
        <sz val="11"/>
        <color rgb="FFFF0000"/>
        <rFont val="Calibri"/>
        <family val="2"/>
        <charset val="204"/>
      </rPr>
      <t xml:space="preserve">▼</t>
    </r>
    <r>
      <rPr>
        <sz val="11"/>
        <color theme="1"/>
        <rFont val="Calibri"/>
        <family val="2"/>
        <charset val="1"/>
      </rPr>
      <t xml:space="preserve"> +1</t>
    </r>
  </si>
  <si>
    <t xml:space="preserve">➡ 0</t>
  </si>
  <si>
    <r>
      <rPr>
        <sz val="11"/>
        <color rgb="FF92D050"/>
        <rFont val="Calibri"/>
        <family val="2"/>
        <charset val="204"/>
      </rPr>
      <t xml:space="preserve">▲</t>
    </r>
    <r>
      <rPr>
        <sz val="11"/>
        <color theme="1"/>
        <rFont val="Calibri"/>
        <family val="2"/>
        <charset val="1"/>
      </rPr>
      <t xml:space="preserve"> +3 п.п.</t>
    </r>
  </si>
  <si>
    <r>
      <rPr>
        <sz val="11"/>
        <color rgb="FF92D050"/>
        <rFont val="Calibri"/>
        <family val="2"/>
        <charset val="204"/>
      </rPr>
      <t xml:space="preserve">▼</t>
    </r>
    <r>
      <rPr>
        <sz val="11"/>
        <color theme="1"/>
        <rFont val="Calibri"/>
        <family val="2"/>
        <charset val="1"/>
      </rPr>
      <t xml:space="preserve"> −5%</t>
    </r>
  </si>
  <si>
    <r>
      <rPr>
        <sz val="11"/>
        <color rgb="FF92D050"/>
        <rFont val="Calibri"/>
        <family val="2"/>
        <charset val="204"/>
      </rPr>
      <t xml:space="preserve">▲</t>
    </r>
    <r>
      <rPr>
        <sz val="11"/>
        <color theme="1"/>
        <rFont val="Calibri"/>
        <family val="2"/>
        <charset val="1"/>
      </rPr>
      <t xml:space="preserve"> +8%</t>
    </r>
  </si>
  <si>
    <r>
      <rPr>
        <sz val="11"/>
        <color rgb="FF92D050"/>
        <rFont val="Calibri"/>
        <family val="2"/>
        <charset val="204"/>
      </rPr>
      <t xml:space="preserve">▲</t>
    </r>
    <r>
      <rPr>
        <sz val="11"/>
        <color theme="1"/>
        <rFont val="Calibri"/>
        <family val="2"/>
        <charset val="1"/>
      </rPr>
      <t xml:space="preserve"> +10%</t>
    </r>
  </si>
  <si>
    <r>
      <rPr>
        <sz val="11"/>
        <color rgb="FF92D050"/>
        <rFont val="Calibri"/>
        <family val="2"/>
        <charset val="204"/>
      </rPr>
      <t xml:space="preserve">▲</t>
    </r>
    <r>
      <rPr>
        <sz val="11"/>
        <color theme="1"/>
        <rFont val="Calibri"/>
        <family val="2"/>
        <charset val="1"/>
      </rPr>
      <t xml:space="preserve"> +12%</t>
    </r>
  </si>
  <si>
    <t xml:space="preserve">Динамика (▲▼) — сравнение с предыдущим аналогичным периодом (21.04–30.04.2026)</t>
  </si>
  <si>
    <t xml:space="preserve">Гос.номер</t>
  </si>
  <si>
    <t xml:space="preserve">Модель</t>
  </si>
  <si>
    <t xml:space="preserve">Тип ТС
</t>
  </si>
  <si>
    <t xml:space="preserve">Статус </t>
  </si>
  <si>
    <t xml:space="preserve">Назначен на завтра? 11.05.2026</t>
  </si>
  <si>
    <t xml:space="preserve">Доступное время за период (часы)</t>
  </si>
  <si>
    <t xml:space="preserve">Время в рейсах (часы)</t>
  </si>
  <si>
    <t xml:space="preserve">Время простоев (часы) </t>
  </si>
  <si>
    <t xml:space="preserve">Загрузка парка</t>
  </si>
  <si>
    <t xml:space="preserve">Количество рейсов</t>
  </si>
  <si>
    <t xml:space="preserve">Пробег (км)</t>
  </si>
  <si>
    <t xml:space="preserve">План сервиса (км)</t>
  </si>
  <si>
    <t xml:space="preserve">Остаток до сервиса (км)</t>
  </si>
  <si>
    <t xml:space="preserve">Примечание</t>
  </si>
  <si>
    <t xml:space="preserve">KAMAZ 5490</t>
  </si>
  <si>
    <t xml:space="preserve">Самосвал</t>
  </si>
  <si>
    <t xml:space="preserve">Да</t>
  </si>
  <si>
    <t xml:space="preserve">KAMAZ 65115</t>
  </si>
  <si>
    <t xml:space="preserve">Нет</t>
  </si>
  <si>
    <t xml:space="preserve">Поломка КПП</t>
  </si>
  <si>
    <t xml:space="preserve">HOWO T5G</t>
  </si>
  <si>
    <t xml:space="preserve">Ожидание заказа</t>
  </si>
  <si>
    <t xml:space="preserve">SHACMAN F3000</t>
  </si>
  <si>
    <t xml:space="preserve">Нет заказов</t>
  </si>
  <si>
    <t xml:space="preserve">Ж111ММ</t>
  </si>
  <si>
    <t xml:space="preserve">Козлов К.</t>
  </si>
  <si>
    <t xml:space="preserve">З222НН</t>
  </si>
  <si>
    <t xml:space="preserve">Новиков Н.</t>
  </si>
  <si>
    <t xml:space="preserve">Замена двигателя</t>
  </si>
  <si>
    <t xml:space="preserve">И333ОО</t>
  </si>
  <si>
    <t xml:space="preserve">Морозов М.</t>
  </si>
  <si>
    <t xml:space="preserve">К444ПП</t>
  </si>
  <si>
    <t xml:space="preserve">Волков В.</t>
  </si>
  <si>
    <t xml:space="preserve">Ожидание ЭТрН</t>
  </si>
  <si>
    <t xml:space="preserve">Л555РР</t>
  </si>
  <si>
    <t xml:space="preserve">Зайцев З.</t>
  </si>
  <si>
    <t xml:space="preserve">Финансовый отчет</t>
  </si>
  <si>
    <t xml:space="preserve">Клиент: все</t>
  </si>
  <si>
    <t xml:space="preserve">Тип расхода: все</t>
  </si>
  <si>
    <t xml:space="preserve">Расходы</t>
  </si>
  <si>
    <t xml:space="preserve">Маржинальность, %</t>
  </si>
  <si>
    <r>
      <rPr>
        <sz val="11"/>
        <color rgb="FF92D050"/>
        <rFont val="Calibri"/>
        <family val="2"/>
        <charset val="204"/>
      </rPr>
      <t xml:space="preserve">▲ </t>
    </r>
    <r>
      <rPr>
        <sz val="11"/>
        <color theme="1"/>
        <rFont val="Calibri"/>
        <family val="2"/>
        <charset val="1"/>
      </rPr>
      <t xml:space="preserve">+8%</t>
    </r>
  </si>
  <si>
    <r>
      <rPr>
        <sz val="11"/>
        <color rgb="FFFF0000"/>
        <rFont val="Calibri"/>
        <family val="2"/>
        <charset val="204"/>
      </rPr>
      <t xml:space="preserve">▼</t>
    </r>
    <r>
      <rPr>
        <sz val="11"/>
        <color theme="1"/>
        <rFont val="Calibri"/>
        <family val="2"/>
        <charset val="1"/>
      </rPr>
      <t xml:space="preserve"> +2% </t>
    </r>
  </si>
  <si>
    <r>
      <rPr>
        <sz val="11"/>
        <color rgb="FF92D050"/>
        <rFont val="Calibri"/>
        <family val="2"/>
        <charset val="204"/>
      </rPr>
      <t xml:space="preserve">▲</t>
    </r>
    <r>
      <rPr>
        <sz val="11"/>
        <color theme="1"/>
        <rFont val="Calibri"/>
        <family val="2"/>
        <charset val="1"/>
      </rPr>
      <t xml:space="preserve"> +1,2 п.п.</t>
    </r>
  </si>
  <si>
    <t xml:space="preserve">Клиент</t>
  </si>
  <si>
    <t xml:space="preserve">Транспорт</t>
  </si>
  <si>
    <t xml:space="preserve">Все клиенты</t>
  </si>
  <si>
    <t xml:space="preserve">Все</t>
  </si>
  <si>
    <t xml:space="preserve">СтройГрупп</t>
  </si>
  <si>
    <t xml:space="preserve">ДорСтрой</t>
  </si>
  <si>
    <t xml:space="preserve">Базис</t>
  </si>
  <si>
    <t xml:space="preserve">— (без клиента)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</si>
</sst>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&quot; ₽&quot;"/>
    <numFmt numFmtId="166" formatCode="#,##0"/>
    <numFmt numFmtId="167" formatCode="dd/mm/yyyy\ h:mm"/>
    <numFmt numFmtId="168" formatCode="h:mm;@"/>
    <numFmt numFmtId="169" formatCode="h:mm"/>
    <numFmt numFmtId="170" formatCode="[h]:mm:ss"/>
    <numFmt numFmtId="171" formatCode="0%"/>
    <numFmt numFmtId="172" formatCode="#,##0&quot; ₽&quot;;[RED]\-#,##0&quot; ₽&quot;"/>
  </numFmts>
  <fonts count="10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92D05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4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7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6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1" min="1" style="0" width="2.73"/>
    <col collapsed="false" customWidth="true" hidden="false" outlineLevel="0" max="2" min="2" style="0" width="40.53"/>
    <col collapsed="false" customWidth="true" hidden="false" outlineLevel="0" max="3" min="3" style="0" width="77.59"/>
  </cols>
  <sheetData>
    <row r="1" s="2" customFormat="true" ht="14.25" hidden="false" customHeight="false" outlineLevel="0" collapsed="false">
      <c r="A1" s="1" t="s">
        <v>0</v>
      </c>
      <c r="B1" s="1" t="s">
        <v>1</v>
      </c>
      <c r="C1" s="1" t="s">
        <v>2</v>
      </c>
    </row>
    <row r="2" s="2" customFormat="true" ht="25" hidden="false" customHeight="false" outlineLevel="0" collapsed="false">
      <c r="A2" s="3" t="n">
        <v>1</v>
      </c>
      <c r="B2" s="3" t="s">
        <v>3</v>
      </c>
      <c r="C2" s="3" t="s">
        <v>4</v>
      </c>
    </row>
    <row r="3" s="2" customFormat="true" ht="25" hidden="false" customHeight="false" outlineLevel="0" collapsed="false">
      <c r="A3" s="4" t="n">
        <v>2</v>
      </c>
      <c r="B3" s="4" t="s">
        <v>5</v>
      </c>
      <c r="C3" s="4" t="s">
        <v>6</v>
      </c>
    </row>
    <row r="4" s="2" customFormat="true" ht="25" hidden="false" customHeight="false" outlineLevel="0" collapsed="false">
      <c r="A4" s="4" t="n">
        <v>3</v>
      </c>
      <c r="B4" s="4" t="s">
        <v>7</v>
      </c>
      <c r="C4" s="4" t="s">
        <v>8</v>
      </c>
    </row>
    <row r="5" s="2" customFormat="true" ht="25" hidden="false" customHeight="false" outlineLevel="0" collapsed="false">
      <c r="A5" s="4" t="n">
        <v>4</v>
      </c>
      <c r="B5" s="4" t="s">
        <v>9</v>
      </c>
      <c r="C5" s="4" t="s">
        <v>10</v>
      </c>
    </row>
    <row r="6" s="2" customFormat="true" ht="25" hidden="false" customHeight="false" outlineLevel="0" collapsed="false">
      <c r="A6" s="5" t="n">
        <v>5</v>
      </c>
      <c r="B6" s="5" t="s">
        <v>11</v>
      </c>
      <c r="C6" s="5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D1" activeCellId="0" sqref="D1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6" width="27.73"/>
    <col collapsed="false" customWidth="true" hidden="false" outlineLevel="0" max="3" min="3" style="0" width="14.73"/>
    <col collapsed="false" customWidth="true" hidden="false" outlineLevel="0" max="4" min="4" style="0" width="9.73"/>
    <col collapsed="false" customWidth="true" hidden="false" outlineLevel="0" max="5" min="5" style="0" width="10.66"/>
    <col collapsed="false" customWidth="true" hidden="false" outlineLevel="0" max="6" min="6" style="0" width="27.47"/>
    <col collapsed="false" customWidth="true" hidden="false" outlineLevel="0" max="7" min="7" style="0" width="18.14"/>
    <col collapsed="false" customWidth="true" hidden="false" outlineLevel="0" max="8" min="8" style="0" width="8.87"/>
    <col collapsed="false" customWidth="true" hidden="false" outlineLevel="0" max="9" min="9" style="0" width="13.53"/>
    <col collapsed="false" customWidth="true" hidden="false" outlineLevel="0" max="10" min="10" style="0" width="13.87"/>
    <col collapsed="false" customWidth="true" hidden="false" outlineLevel="0" max="11" min="11" style="0" width="12.2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4" min="14" style="0" width="10.4"/>
    <col collapsed="false" customWidth="true" hidden="false" outlineLevel="0" max="15" min="15" style="0" width="9.79"/>
    <col collapsed="false" customWidth="true" hidden="false" outlineLevel="0" max="16" min="16" style="0" width="8.6"/>
  </cols>
  <sheetData>
    <row r="1" customFormat="false" ht="17.35" hidden="false" customHeight="false" outlineLevel="0" collapsed="false">
      <c r="A1" s="7" t="s">
        <v>13</v>
      </c>
    </row>
    <row r="2" customFormat="false" ht="25" hidden="false" customHeight="false" outlineLevel="0" collapsed="false">
      <c r="A2" s="0" t="s">
        <v>14</v>
      </c>
      <c r="B2" s="6" t="s">
        <v>15</v>
      </c>
    </row>
    <row r="3" customFormat="false" ht="14.25" hidden="false" customHeight="false" outlineLevel="0" collapsed="false">
      <c r="A3" s="6" t="s">
        <v>16</v>
      </c>
      <c r="B3" s="6" t="s">
        <v>17</v>
      </c>
      <c r="C3" s="0" t="s">
        <v>18</v>
      </c>
    </row>
    <row r="5" s="12" customFormat="true" ht="14.25" hidden="false" customHeight="false" outlineLevel="0" collapsed="false">
      <c r="A5" s="8" t="s">
        <v>19</v>
      </c>
      <c r="B5" s="9" t="s">
        <v>20</v>
      </c>
      <c r="C5" s="10" t="s">
        <v>21</v>
      </c>
      <c r="D5" s="10" t="s">
        <v>22</v>
      </c>
      <c r="E5" s="10" t="s">
        <v>23</v>
      </c>
      <c r="F5" s="10" t="s">
        <v>24</v>
      </c>
      <c r="G5" s="11" t="s">
        <v>25</v>
      </c>
    </row>
    <row r="6" s="16" customFormat="true" ht="14.25" hidden="false" customHeight="false" outlineLevel="0" collapsed="false">
      <c r="A6" s="13" t="n">
        <v>10</v>
      </c>
      <c r="B6" s="14" t="n">
        <v>7</v>
      </c>
      <c r="C6" s="13" t="n">
        <v>3</v>
      </c>
      <c r="D6" s="15" t="n">
        <v>30500</v>
      </c>
      <c r="E6" s="15" t="n">
        <v>18520</v>
      </c>
      <c r="F6" s="15" t="n">
        <v>3380</v>
      </c>
      <c r="G6" s="15" t="n">
        <v>3200</v>
      </c>
    </row>
    <row r="7" s="16" customFormat="true" ht="14.25" hidden="false" customHeight="false" outlineLevel="0" collapsed="false">
      <c r="A7" s="17" t="s">
        <v>26</v>
      </c>
      <c r="B7" s="18" t="s">
        <v>27</v>
      </c>
      <c r="C7" s="19" t="s">
        <v>28</v>
      </c>
      <c r="D7" s="20" t="s">
        <v>29</v>
      </c>
      <c r="E7" s="20" t="s">
        <v>30</v>
      </c>
      <c r="F7" s="20" t="s">
        <v>31</v>
      </c>
      <c r="G7" s="20" t="s">
        <v>32</v>
      </c>
    </row>
    <row r="8" s="16" customFormat="true" ht="14.25" hidden="false" customHeight="false" outlineLevel="0" collapsed="false">
      <c r="A8" s="21" t="s">
        <v>33</v>
      </c>
      <c r="B8" s="22"/>
      <c r="C8" s="23"/>
      <c r="D8" s="24"/>
      <c r="E8" s="24"/>
      <c r="F8" s="24"/>
      <c r="G8" s="24"/>
    </row>
    <row r="9" customFormat="false" ht="14.25" hidden="false" customHeight="false" outlineLevel="0" collapsed="false">
      <c r="A9" s="12"/>
    </row>
    <row r="10" s="26" customFormat="true" ht="36.5" hidden="false" customHeight="false" outlineLevel="0" collapsed="false">
      <c r="A10" s="1" t="s">
        <v>34</v>
      </c>
      <c r="B10" s="1" t="s">
        <v>35</v>
      </c>
      <c r="C10" s="1" t="s">
        <v>36</v>
      </c>
      <c r="D10" s="1" t="s">
        <v>37</v>
      </c>
      <c r="E10" s="1" t="s">
        <v>38</v>
      </c>
      <c r="F10" s="1" t="s">
        <v>39</v>
      </c>
      <c r="G10" s="1" t="s">
        <v>40</v>
      </c>
      <c r="H10" s="1" t="s">
        <v>41</v>
      </c>
      <c r="I10" s="1" t="s">
        <v>42</v>
      </c>
      <c r="J10" s="1" t="s">
        <v>43</v>
      </c>
      <c r="K10" s="1" t="s">
        <v>44</v>
      </c>
      <c r="L10" s="1" t="s">
        <v>45</v>
      </c>
      <c r="M10" s="1" t="s">
        <v>46</v>
      </c>
      <c r="N10" s="1" t="s">
        <v>24</v>
      </c>
      <c r="O10" s="25" t="s">
        <v>47</v>
      </c>
      <c r="P10" s="25" t="s">
        <v>48</v>
      </c>
      <c r="Q10" s="1" t="s">
        <v>23</v>
      </c>
    </row>
    <row r="11" customFormat="false" ht="14.25" hidden="false" customHeight="false" outlineLevel="0" collapsed="false">
      <c r="A11" s="27" t="s">
        <v>49</v>
      </c>
      <c r="B11" s="28" t="n">
        <v>46143.3333333333</v>
      </c>
      <c r="C11" s="28" t="n">
        <v>46143.7291666667</v>
      </c>
      <c r="D11" s="27" t="s">
        <v>50</v>
      </c>
      <c r="E11" s="27" t="s">
        <v>51</v>
      </c>
      <c r="F11" s="27" t="s">
        <v>52</v>
      </c>
      <c r="G11" s="27" t="s">
        <v>53</v>
      </c>
      <c r="H11" s="27" t="s">
        <v>54</v>
      </c>
      <c r="I11" s="27" t="s">
        <v>55</v>
      </c>
      <c r="J11" s="29" t="n">
        <v>0.375</v>
      </c>
      <c r="K11" s="30" t="n">
        <v>0.395833333333333</v>
      </c>
      <c r="L11" s="31" t="s">
        <v>56</v>
      </c>
      <c r="M11" s="32" t="n">
        <v>5000</v>
      </c>
      <c r="N11" s="32" t="n">
        <v>500</v>
      </c>
      <c r="O11" s="32" t="n">
        <v>1500</v>
      </c>
      <c r="P11" s="32" t="n">
        <v>500</v>
      </c>
      <c r="Q11" s="32" t="n">
        <v>2500</v>
      </c>
    </row>
    <row r="12" customFormat="false" ht="25" hidden="false" customHeight="false" outlineLevel="0" collapsed="false">
      <c r="A12" s="33" t="s">
        <v>57</v>
      </c>
      <c r="B12" s="34" t="n">
        <v>46143.3854166667</v>
      </c>
      <c r="C12" s="33" t="s">
        <v>55</v>
      </c>
      <c r="D12" s="33" t="s">
        <v>58</v>
      </c>
      <c r="E12" s="33" t="s">
        <v>59</v>
      </c>
      <c r="F12" s="35" t="s">
        <v>60</v>
      </c>
      <c r="G12" s="33" t="s">
        <v>61</v>
      </c>
      <c r="H12" s="33" t="s">
        <v>62</v>
      </c>
      <c r="I12" s="33" t="s">
        <v>63</v>
      </c>
      <c r="J12" s="36" t="n">
        <v>0.104166666666667</v>
      </c>
      <c r="K12" s="37" t="s">
        <v>55</v>
      </c>
      <c r="L12" s="37" t="s">
        <v>55</v>
      </c>
      <c r="M12" s="38" t="n">
        <v>0</v>
      </c>
      <c r="N12" s="38" t="n">
        <v>0</v>
      </c>
      <c r="O12" s="38" t="n">
        <v>0</v>
      </c>
      <c r="P12" s="38" t="n">
        <v>0</v>
      </c>
      <c r="Q12" s="38" t="n">
        <v>0</v>
      </c>
    </row>
    <row r="13" customFormat="false" ht="14.25" hidden="false" customHeight="false" outlineLevel="0" collapsed="false">
      <c r="A13" s="33" t="s">
        <v>64</v>
      </c>
      <c r="B13" s="34" t="n">
        <v>46143.4166666667</v>
      </c>
      <c r="C13" s="39" t="n">
        <v>46143.5</v>
      </c>
      <c r="D13" s="33" t="s">
        <v>65</v>
      </c>
      <c r="E13" s="33" t="s">
        <v>66</v>
      </c>
      <c r="F13" s="35" t="s">
        <v>67</v>
      </c>
      <c r="G13" s="33" t="s">
        <v>53</v>
      </c>
      <c r="H13" s="33" t="s">
        <v>54</v>
      </c>
      <c r="I13" s="33" t="s">
        <v>55</v>
      </c>
      <c r="J13" s="36" t="n">
        <v>0.0833333333333333</v>
      </c>
      <c r="K13" s="40" t="n">
        <v>0.0916666666666667</v>
      </c>
      <c r="L13" s="37" t="s">
        <v>68</v>
      </c>
      <c r="M13" s="38" t="n">
        <v>3000</v>
      </c>
      <c r="N13" s="38" t="n">
        <v>300</v>
      </c>
      <c r="O13" s="38" t="n">
        <v>1200</v>
      </c>
      <c r="P13" s="38" t="n">
        <v>400</v>
      </c>
      <c r="Q13" s="38" t="n">
        <v>1100</v>
      </c>
    </row>
    <row r="14" customFormat="false" ht="14.25" hidden="false" customHeight="false" outlineLevel="0" collapsed="false">
      <c r="A14" s="33" t="s">
        <v>69</v>
      </c>
      <c r="B14" s="34" t="n">
        <v>46144.3125</v>
      </c>
      <c r="C14" s="39" t="n">
        <v>46144.6979166667</v>
      </c>
      <c r="D14" s="33" t="s">
        <v>50</v>
      </c>
      <c r="E14" s="33" t="s">
        <v>51</v>
      </c>
      <c r="F14" s="35" t="s">
        <v>70</v>
      </c>
      <c r="G14" s="33" t="s">
        <v>61</v>
      </c>
      <c r="H14" s="33" t="s">
        <v>54</v>
      </c>
      <c r="I14" s="33" t="s">
        <v>55</v>
      </c>
      <c r="J14" s="36" t="n">
        <v>0.333333333333333</v>
      </c>
      <c r="K14" s="40" t="n">
        <v>0.385416666666667</v>
      </c>
      <c r="L14" s="37" t="s">
        <v>71</v>
      </c>
      <c r="M14" s="38" t="n">
        <v>4800</v>
      </c>
      <c r="N14" s="38" t="n">
        <v>550</v>
      </c>
      <c r="O14" s="38" t="n">
        <v>1800</v>
      </c>
      <c r="P14" s="38" t="n">
        <v>500</v>
      </c>
      <c r="Q14" s="38" t="n">
        <v>1950</v>
      </c>
    </row>
    <row r="15" customFormat="false" ht="14.25" hidden="false" customHeight="false" outlineLevel="0" collapsed="false">
      <c r="A15" s="33" t="s">
        <v>72</v>
      </c>
      <c r="B15" s="34" t="n">
        <v>46145.25</v>
      </c>
      <c r="C15" s="39" t="n">
        <v>46145.5972222222</v>
      </c>
      <c r="D15" s="33" t="s">
        <v>73</v>
      </c>
      <c r="E15" s="33" t="s">
        <v>74</v>
      </c>
      <c r="F15" s="35" t="s">
        <v>75</v>
      </c>
      <c r="G15" s="33" t="s">
        <v>76</v>
      </c>
      <c r="H15" s="33" t="s">
        <v>54</v>
      </c>
      <c r="I15" s="33" t="s">
        <v>55</v>
      </c>
      <c r="J15" s="36" t="n">
        <v>0.3125</v>
      </c>
      <c r="K15" s="40" t="n">
        <v>0.347222222222222</v>
      </c>
      <c r="L15" s="37" t="s">
        <v>77</v>
      </c>
      <c r="M15" s="38" t="n">
        <v>6200</v>
      </c>
      <c r="N15" s="38" t="n">
        <v>700</v>
      </c>
      <c r="O15" s="38" t="n">
        <v>2000</v>
      </c>
      <c r="P15" s="38" t="n">
        <v>600</v>
      </c>
      <c r="Q15" s="38" t="n">
        <v>2900</v>
      </c>
    </row>
    <row r="16" customFormat="false" ht="25" hidden="false" customHeight="false" outlineLevel="0" collapsed="false">
      <c r="A16" s="33" t="s">
        <v>78</v>
      </c>
      <c r="B16" s="34" t="n">
        <v>46146.3333333333</v>
      </c>
      <c r="C16" s="33" t="s">
        <v>55</v>
      </c>
      <c r="D16" s="33" t="s">
        <v>58</v>
      </c>
      <c r="E16" s="33" t="s">
        <v>59</v>
      </c>
      <c r="F16" s="35" t="s">
        <v>79</v>
      </c>
      <c r="G16" s="33" t="s">
        <v>53</v>
      </c>
      <c r="H16" s="33" t="s">
        <v>62</v>
      </c>
      <c r="I16" s="33" t="s">
        <v>80</v>
      </c>
      <c r="J16" s="36" t="n">
        <v>0.125</v>
      </c>
      <c r="K16" s="37" t="s">
        <v>55</v>
      </c>
      <c r="L16" s="37" t="s">
        <v>55</v>
      </c>
      <c r="M16" s="38" t="n">
        <v>0</v>
      </c>
      <c r="N16" s="38" t="n">
        <v>0</v>
      </c>
      <c r="O16" s="38" t="n">
        <v>0</v>
      </c>
      <c r="P16" s="38" t="n">
        <v>0</v>
      </c>
      <c r="Q16" s="38" t="n">
        <v>0</v>
      </c>
    </row>
    <row r="17" customFormat="false" ht="14.25" hidden="false" customHeight="false" outlineLevel="0" collapsed="false">
      <c r="A17" s="33" t="s">
        <v>81</v>
      </c>
      <c r="B17" s="34" t="n">
        <v>46147.375</v>
      </c>
      <c r="C17" s="39" t="n">
        <v>46147.75</v>
      </c>
      <c r="D17" s="33" t="s">
        <v>65</v>
      </c>
      <c r="E17" s="33" t="s">
        <v>66</v>
      </c>
      <c r="F17" s="35" t="s">
        <v>82</v>
      </c>
      <c r="G17" s="33" t="s">
        <v>61</v>
      </c>
      <c r="H17" s="33" t="s">
        <v>54</v>
      </c>
      <c r="I17" s="33" t="s">
        <v>55</v>
      </c>
      <c r="J17" s="36" t="n">
        <v>0.333333333333333</v>
      </c>
      <c r="K17" s="40" t="n">
        <v>0.375</v>
      </c>
      <c r="L17" s="37" t="s">
        <v>83</v>
      </c>
      <c r="M17" s="38" t="n">
        <v>5500</v>
      </c>
      <c r="N17" s="38" t="n">
        <v>650</v>
      </c>
      <c r="O17" s="38" t="n">
        <v>1700</v>
      </c>
      <c r="P17" s="38" t="n">
        <v>500</v>
      </c>
      <c r="Q17" s="38" t="n">
        <v>2650</v>
      </c>
    </row>
    <row r="18" customFormat="false" ht="14.25" hidden="false" customHeight="false" outlineLevel="0" collapsed="false">
      <c r="A18" s="33" t="s">
        <v>84</v>
      </c>
      <c r="B18" s="34" t="n">
        <v>46148.2916666667</v>
      </c>
      <c r="C18" s="39" t="n">
        <v>46148.6354166667</v>
      </c>
      <c r="D18" s="33" t="s">
        <v>50</v>
      </c>
      <c r="E18" s="33" t="s">
        <v>51</v>
      </c>
      <c r="F18" s="35" t="s">
        <v>85</v>
      </c>
      <c r="G18" s="33" t="s">
        <v>53</v>
      </c>
      <c r="H18" s="33" t="s">
        <v>54</v>
      </c>
      <c r="I18" s="33" t="s">
        <v>55</v>
      </c>
      <c r="J18" s="36" t="n">
        <v>0.291666666666667</v>
      </c>
      <c r="K18" s="40" t="n">
        <v>0.34375</v>
      </c>
      <c r="L18" s="37" t="s">
        <v>71</v>
      </c>
      <c r="M18" s="38" t="n">
        <v>4200</v>
      </c>
      <c r="N18" s="38" t="n">
        <v>480</v>
      </c>
      <c r="O18" s="38" t="n">
        <v>1400</v>
      </c>
      <c r="P18" s="38" t="n">
        <v>450</v>
      </c>
      <c r="Q18" s="38" t="n">
        <v>1870</v>
      </c>
    </row>
    <row r="19" customFormat="false" ht="14.25" hidden="false" customHeight="false" outlineLevel="0" collapsed="false">
      <c r="A19" s="33" t="s">
        <v>86</v>
      </c>
      <c r="B19" s="34" t="n">
        <v>46149.4166666667</v>
      </c>
      <c r="C19" s="39" t="n">
        <v>46149.4791666667</v>
      </c>
      <c r="D19" s="33" t="s">
        <v>73</v>
      </c>
      <c r="E19" s="33" t="s">
        <v>74</v>
      </c>
      <c r="F19" s="33" t="s">
        <v>87</v>
      </c>
      <c r="G19" s="33" t="s">
        <v>76</v>
      </c>
      <c r="H19" s="33" t="s">
        <v>54</v>
      </c>
      <c r="I19" s="33" t="s">
        <v>55</v>
      </c>
      <c r="J19" s="36" t="n">
        <v>0.0625</v>
      </c>
      <c r="K19" s="40" t="n">
        <v>0.0625</v>
      </c>
      <c r="L19" s="37" t="s">
        <v>88</v>
      </c>
      <c r="M19" s="38" t="n">
        <v>1800</v>
      </c>
      <c r="N19" s="38" t="n">
        <v>200</v>
      </c>
      <c r="O19" s="38" t="n">
        <v>800</v>
      </c>
      <c r="P19" s="38" t="n">
        <v>250</v>
      </c>
      <c r="Q19" s="38" t="n">
        <v>550</v>
      </c>
    </row>
    <row r="20" customFormat="false" ht="14.25" hidden="false" customHeight="false" outlineLevel="0" collapsed="false">
      <c r="A20" s="41" t="s">
        <v>89</v>
      </c>
      <c r="B20" s="42" t="n">
        <v>46150.3541666667</v>
      </c>
      <c r="C20" s="41" t="s">
        <v>55</v>
      </c>
      <c r="D20" s="41" t="s">
        <v>90</v>
      </c>
      <c r="E20" s="41" t="s">
        <v>91</v>
      </c>
      <c r="F20" s="41" t="s">
        <v>92</v>
      </c>
      <c r="G20" s="41" t="s">
        <v>61</v>
      </c>
      <c r="H20" s="41" t="s">
        <v>62</v>
      </c>
      <c r="I20" s="41" t="s">
        <v>93</v>
      </c>
      <c r="J20" s="43" t="n">
        <v>0.0833333333333333</v>
      </c>
      <c r="K20" s="44" t="s">
        <v>55</v>
      </c>
      <c r="L20" s="44" t="s">
        <v>55</v>
      </c>
      <c r="M20" s="45" t="n">
        <v>0</v>
      </c>
      <c r="N20" s="45" t="n">
        <v>0</v>
      </c>
      <c r="O20" s="45" t="n">
        <v>0</v>
      </c>
      <c r="P20" s="45" t="n">
        <v>0</v>
      </c>
      <c r="Q20" s="45" t="n">
        <v>0</v>
      </c>
    </row>
    <row r="21" s="12" customFormat="true" ht="14.25" hidden="false" customHeight="false" outlineLevel="0" collapsed="false">
      <c r="A21" s="8" t="s">
        <v>94</v>
      </c>
      <c r="B21" s="9"/>
      <c r="C21" s="10"/>
      <c r="D21" s="10"/>
      <c r="E21" s="10"/>
      <c r="F21" s="10"/>
      <c r="G21" s="10"/>
      <c r="H21" s="10"/>
      <c r="I21" s="10"/>
      <c r="J21" s="46" t="s">
        <v>95</v>
      </c>
      <c r="K21" s="47" t="s">
        <v>96</v>
      </c>
      <c r="L21" s="47" t="s">
        <v>97</v>
      </c>
      <c r="M21" s="48" t="n">
        <v>30500</v>
      </c>
      <c r="N21" s="48" t="n">
        <v>3380</v>
      </c>
      <c r="O21" s="48" t="n">
        <f aca="false">SUM(O11:O20)</f>
        <v>10400</v>
      </c>
      <c r="P21" s="48" t="n">
        <v>3200</v>
      </c>
      <c r="Q21" s="48" t="n">
        <v>18520</v>
      </c>
    </row>
    <row r="22" customFormat="false" ht="14.25" hidden="false" customHeight="false" outlineLevel="0" collapsed="false">
      <c r="A22" s="12"/>
    </row>
    <row r="23" customFormat="false" ht="14.25" hidden="false" customHeight="false" outlineLevel="0" collapsed="false">
      <c r="B23" s="49"/>
    </row>
    <row r="24" customFormat="false" ht="14.25" hidden="false" customHeight="false" outlineLevel="0" collapsed="false">
      <c r="B24" s="49"/>
    </row>
    <row r="25" customFormat="false" ht="14.25" hidden="false" customHeight="false" outlineLevel="0" collapsed="false">
      <c r="B25" s="49"/>
    </row>
    <row r="26" customFormat="false" ht="14.25" hidden="false" customHeight="false" outlineLevel="0" collapsed="false">
      <c r="B26" s="49"/>
    </row>
    <row r="27" customFormat="false" ht="14.25" hidden="false" customHeight="false" outlineLevel="0" collapsed="false">
      <c r="B27" s="49"/>
    </row>
    <row r="28" customFormat="false" ht="14.25" hidden="false" customHeight="false" outlineLevel="0" collapsed="false">
      <c r="B28" s="49"/>
    </row>
    <row r="29" customFormat="false" ht="14.25" hidden="false" customHeight="false" outlineLevel="0" collapsed="false">
      <c r="B29" s="49"/>
    </row>
    <row r="30" customFormat="false" ht="14.25" hidden="false" customHeight="false" outlineLevel="0" collapsed="false">
      <c r="B30" s="49"/>
    </row>
    <row r="32" customFormat="false" ht="14.25" hidden="false" customHeight="false" outlineLevel="0" collapsed="false">
      <c r="A32" s="12"/>
      <c r="F32" s="6"/>
      <c r="Q32" s="50"/>
    </row>
    <row r="40" customFormat="false" ht="14.25" hidden="false" customHeight="false" outlineLevel="0" collapsed="false">
      <c r="A40" s="16"/>
    </row>
    <row r="46" customFormat="false" ht="14.25" hidden="false" customHeight="false" outlineLevel="0" collapsed="false">
      <c r="A46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.73"/>
    <col collapsed="false" customWidth="true" hidden="false" outlineLevel="0" max="3" min="3" style="0" width="12.2"/>
    <col collapsed="false" customWidth="true" hidden="false" outlineLevel="0" max="4" min="4" style="0" width="10.73"/>
    <col collapsed="false" customWidth="true" hidden="false" outlineLevel="0" max="5" min="5" style="0" width="10.86"/>
    <col collapsed="false" customWidth="true" hidden="false" outlineLevel="0" max="6" min="6" style="0" width="18"/>
    <col collapsed="false" customWidth="true" hidden="false" outlineLevel="0" max="7" min="7" style="0" width="11.73"/>
    <col collapsed="false" customWidth="true" hidden="false" outlineLevel="0" max="8" min="8" style="0" width="13.87"/>
    <col collapsed="false" customWidth="true" hidden="false" outlineLevel="0" max="9" min="9" style="0" width="20.2"/>
    <col collapsed="false" customWidth="true" hidden="false" outlineLevel="0" max="11" min="11" style="0" width="9.53"/>
    <col collapsed="false" customWidth="true" hidden="false" outlineLevel="0" max="12" min="12" style="0" width="10.4"/>
    <col collapsed="false" customWidth="true" hidden="false" outlineLevel="0" max="13" min="13" style="0" width="8.67"/>
    <col collapsed="false" customWidth="true" hidden="false" outlineLevel="0" max="14" min="14" style="0" width="6.73"/>
    <col collapsed="false" customWidth="true" hidden="false" outlineLevel="0" max="16" min="15" style="0" width="7.33"/>
    <col collapsed="false" customWidth="true" hidden="false" outlineLevel="0" max="17" min="17" style="0" width="15.66"/>
  </cols>
  <sheetData>
    <row r="1" customFormat="false" ht="17.35" hidden="false" customHeight="false" outlineLevel="0" collapsed="false">
      <c r="A1" s="7" t="s">
        <v>98</v>
      </c>
    </row>
    <row r="2" customFormat="false" ht="14.25" hidden="false" customHeight="false" outlineLevel="0" collapsed="false">
      <c r="A2" s="0" t="s">
        <v>14</v>
      </c>
      <c r="B2" s="0" t="s">
        <v>15</v>
      </c>
    </row>
    <row r="3" customFormat="false" ht="14.25" hidden="false" customHeight="false" outlineLevel="0" collapsed="false">
      <c r="A3" s="0" t="s">
        <v>99</v>
      </c>
      <c r="B3" s="0" t="s">
        <v>100</v>
      </c>
      <c r="C3" s="0" t="s">
        <v>18</v>
      </c>
    </row>
    <row r="5" s="12" customFormat="true" ht="14.25" hidden="false" customHeight="false" outlineLevel="0" collapsed="false">
      <c r="A5" s="8" t="s">
        <v>101</v>
      </c>
      <c r="B5" s="10" t="s">
        <v>102</v>
      </c>
      <c r="C5" s="10" t="s">
        <v>103</v>
      </c>
      <c r="D5" s="10" t="s">
        <v>104</v>
      </c>
      <c r="E5" s="10" t="s">
        <v>105</v>
      </c>
      <c r="F5" s="10" t="s">
        <v>106</v>
      </c>
      <c r="G5" s="10" t="s">
        <v>19</v>
      </c>
      <c r="H5" s="10" t="s">
        <v>107</v>
      </c>
      <c r="I5" s="10" t="s">
        <v>108</v>
      </c>
      <c r="J5" s="11" t="s">
        <v>109</v>
      </c>
    </row>
    <row r="6" customFormat="false" ht="14.25" hidden="false" customHeight="false" outlineLevel="0" collapsed="false">
      <c r="A6" s="27" t="n">
        <v>10</v>
      </c>
      <c r="B6" s="27" t="n">
        <v>5</v>
      </c>
      <c r="C6" s="27" t="n">
        <v>3</v>
      </c>
      <c r="D6" s="27" t="n">
        <v>2</v>
      </c>
      <c r="E6" s="51" t="n">
        <v>0.52</v>
      </c>
      <c r="F6" s="15" t="n">
        <v>193200</v>
      </c>
      <c r="G6" s="27" t="n">
        <v>90</v>
      </c>
      <c r="H6" s="15" t="n">
        <v>264000</v>
      </c>
      <c r="I6" s="31" t="s">
        <v>110</v>
      </c>
      <c r="J6" s="52" t="s">
        <v>111</v>
      </c>
    </row>
    <row r="7" customFormat="false" ht="14.25" hidden="false" customHeight="false" outlineLevel="0" collapsed="false">
      <c r="A7" s="41"/>
      <c r="B7" s="53" t="s">
        <v>112</v>
      </c>
      <c r="C7" s="19" t="s">
        <v>113</v>
      </c>
      <c r="D7" s="44" t="s">
        <v>114</v>
      </c>
      <c r="E7" s="54" t="s">
        <v>115</v>
      </c>
      <c r="F7" s="20" t="s">
        <v>116</v>
      </c>
      <c r="G7" s="53" t="s">
        <v>117</v>
      </c>
      <c r="H7" s="20" t="s">
        <v>118</v>
      </c>
      <c r="I7" s="53" t="s">
        <v>119</v>
      </c>
      <c r="J7" s="20" t="s">
        <v>32</v>
      </c>
    </row>
    <row r="8" customFormat="false" ht="14.25" hidden="false" customHeight="false" outlineLevel="0" collapsed="false">
      <c r="A8" s="55" t="s">
        <v>120</v>
      </c>
      <c r="B8" s="56"/>
      <c r="C8" s="56"/>
      <c r="D8" s="56"/>
      <c r="E8" s="57"/>
      <c r="F8" s="24"/>
      <c r="G8" s="56"/>
      <c r="H8" s="24"/>
      <c r="I8" s="56"/>
      <c r="J8" s="24"/>
    </row>
    <row r="9" customFormat="false" ht="14.25" hidden="false" customHeight="false" outlineLevel="0" collapsed="false">
      <c r="A9" s="12"/>
    </row>
    <row r="10" s="58" customFormat="true" ht="48" hidden="false" customHeight="false" outlineLevel="0" collapsed="false">
      <c r="A10" s="1" t="s">
        <v>121</v>
      </c>
      <c r="B10" s="1" t="s">
        <v>122</v>
      </c>
      <c r="C10" s="1" t="s">
        <v>123</v>
      </c>
      <c r="D10" s="1" t="s">
        <v>38</v>
      </c>
      <c r="E10" s="1" t="s">
        <v>124</v>
      </c>
      <c r="F10" s="1" t="s">
        <v>125</v>
      </c>
      <c r="G10" s="1" t="s">
        <v>126</v>
      </c>
      <c r="H10" s="1" t="s">
        <v>127</v>
      </c>
      <c r="I10" s="1" t="s">
        <v>128</v>
      </c>
      <c r="J10" s="1" t="s">
        <v>129</v>
      </c>
      <c r="K10" s="1" t="s">
        <v>106</v>
      </c>
      <c r="L10" s="1" t="s">
        <v>130</v>
      </c>
      <c r="M10" s="1" t="s">
        <v>107</v>
      </c>
      <c r="N10" s="1" t="s">
        <v>131</v>
      </c>
      <c r="O10" s="1" t="s">
        <v>132</v>
      </c>
      <c r="P10" s="1" t="s">
        <v>133</v>
      </c>
      <c r="Q10" s="1" t="s">
        <v>134</v>
      </c>
    </row>
    <row r="11" s="58" customFormat="true" ht="14.25" hidden="false" customHeight="false" outlineLevel="0" collapsed="false">
      <c r="A11" s="59" t="s">
        <v>50</v>
      </c>
      <c r="B11" s="59" t="s">
        <v>135</v>
      </c>
      <c r="C11" s="59" t="s">
        <v>136</v>
      </c>
      <c r="D11" s="59" t="s">
        <v>51</v>
      </c>
      <c r="E11" s="59" t="s">
        <v>102</v>
      </c>
      <c r="F11" s="59" t="s">
        <v>137</v>
      </c>
      <c r="G11" s="60" t="n">
        <v>176</v>
      </c>
      <c r="H11" s="59" t="n">
        <v>142</v>
      </c>
      <c r="I11" s="59" t="n">
        <v>34</v>
      </c>
      <c r="J11" s="61" t="n">
        <v>0.81</v>
      </c>
      <c r="K11" s="62" t="n">
        <v>10200</v>
      </c>
      <c r="L11" s="59" t="n">
        <v>14</v>
      </c>
      <c r="M11" s="62" t="n">
        <v>40800</v>
      </c>
      <c r="N11" s="63" t="n">
        <v>1800</v>
      </c>
      <c r="O11" s="63" t="n">
        <v>10000</v>
      </c>
      <c r="P11" s="63" t="n">
        <v>8200</v>
      </c>
      <c r="Q11" s="59" t="s">
        <v>55</v>
      </c>
    </row>
    <row r="12" s="58" customFormat="true" ht="14.25" hidden="false" customHeight="false" outlineLevel="0" collapsed="false">
      <c r="A12" s="64" t="s">
        <v>58</v>
      </c>
      <c r="B12" s="64" t="s">
        <v>138</v>
      </c>
      <c r="C12" s="64" t="s">
        <v>136</v>
      </c>
      <c r="D12" s="64" t="s">
        <v>59</v>
      </c>
      <c r="E12" s="64" t="s">
        <v>104</v>
      </c>
      <c r="F12" s="64" t="s">
        <v>139</v>
      </c>
      <c r="G12" s="65" t="n">
        <v>80</v>
      </c>
      <c r="H12" s="64" t="n">
        <v>0</v>
      </c>
      <c r="I12" s="64" t="n">
        <v>80</v>
      </c>
      <c r="J12" s="66" t="n">
        <v>0</v>
      </c>
      <c r="K12" s="67" t="n">
        <v>24000</v>
      </c>
      <c r="L12" s="64" t="n">
        <v>0</v>
      </c>
      <c r="M12" s="67" t="n">
        <v>0</v>
      </c>
      <c r="N12" s="64" t="n">
        <v>0</v>
      </c>
      <c r="O12" s="68" t="n">
        <v>9500</v>
      </c>
      <c r="P12" s="68" t="n">
        <v>9500</v>
      </c>
      <c r="Q12" s="64" t="s">
        <v>140</v>
      </c>
    </row>
    <row r="13" s="69" customFormat="true" ht="14.25" hidden="false" customHeight="false" outlineLevel="0" collapsed="false">
      <c r="A13" s="64" t="s">
        <v>65</v>
      </c>
      <c r="B13" s="64" t="s">
        <v>141</v>
      </c>
      <c r="C13" s="64" t="s">
        <v>136</v>
      </c>
      <c r="D13" s="64" t="s">
        <v>66</v>
      </c>
      <c r="E13" s="64" t="s">
        <v>103</v>
      </c>
      <c r="F13" s="64" t="s">
        <v>137</v>
      </c>
      <c r="G13" s="65" t="n">
        <v>176</v>
      </c>
      <c r="H13" s="64" t="n">
        <v>98</v>
      </c>
      <c r="I13" s="64" t="n">
        <v>78</v>
      </c>
      <c r="J13" s="66" t="n">
        <v>0.56</v>
      </c>
      <c r="K13" s="67" t="n">
        <v>23400</v>
      </c>
      <c r="L13" s="64" t="n">
        <v>9</v>
      </c>
      <c r="M13" s="67" t="n">
        <v>31200</v>
      </c>
      <c r="N13" s="68" t="n">
        <v>1400</v>
      </c>
      <c r="O13" s="68" t="n">
        <v>8000</v>
      </c>
      <c r="P13" s="68" t="n">
        <v>6600</v>
      </c>
      <c r="Q13" s="64" t="s">
        <v>142</v>
      </c>
    </row>
    <row r="14" customFormat="false" ht="14.25" hidden="false" customHeight="false" outlineLevel="0" collapsed="false">
      <c r="A14" s="33" t="s">
        <v>73</v>
      </c>
      <c r="B14" s="33" t="s">
        <v>143</v>
      </c>
      <c r="C14" s="33" t="s">
        <v>136</v>
      </c>
      <c r="D14" s="33" t="s">
        <v>74</v>
      </c>
      <c r="E14" s="33" t="s">
        <v>102</v>
      </c>
      <c r="F14" s="33" t="s">
        <v>137</v>
      </c>
      <c r="G14" s="70" t="n">
        <v>176</v>
      </c>
      <c r="H14" s="71" t="n">
        <v>155</v>
      </c>
      <c r="I14" s="33" t="n">
        <v>21</v>
      </c>
      <c r="J14" s="72" t="n">
        <v>0.88</v>
      </c>
      <c r="K14" s="38" t="n">
        <v>6300</v>
      </c>
      <c r="L14" s="33" t="n">
        <v>16</v>
      </c>
      <c r="M14" s="38" t="n">
        <v>44400</v>
      </c>
      <c r="N14" s="73" t="n">
        <v>2100</v>
      </c>
      <c r="O14" s="73" t="n">
        <v>12000</v>
      </c>
      <c r="P14" s="73" t="n">
        <v>9900</v>
      </c>
      <c r="Q14" s="33" t="s">
        <v>55</v>
      </c>
    </row>
    <row r="15" customFormat="false" ht="14.25" hidden="false" customHeight="false" outlineLevel="0" collapsed="false">
      <c r="A15" s="33" t="s">
        <v>90</v>
      </c>
      <c r="B15" s="33" t="s">
        <v>135</v>
      </c>
      <c r="C15" s="33" t="s">
        <v>136</v>
      </c>
      <c r="D15" s="33" t="s">
        <v>91</v>
      </c>
      <c r="E15" s="33" t="s">
        <v>103</v>
      </c>
      <c r="F15" s="33" t="s">
        <v>139</v>
      </c>
      <c r="G15" s="70" t="n">
        <v>176</v>
      </c>
      <c r="H15" s="71" t="n">
        <v>45</v>
      </c>
      <c r="I15" s="33" t="n">
        <v>131</v>
      </c>
      <c r="J15" s="72" t="n">
        <v>0.26</v>
      </c>
      <c r="K15" s="38" t="n">
        <v>39300</v>
      </c>
      <c r="L15" s="33" t="n">
        <v>4</v>
      </c>
      <c r="M15" s="38" t="n">
        <v>12000</v>
      </c>
      <c r="N15" s="33" t="n">
        <v>600</v>
      </c>
      <c r="O15" s="73" t="n">
        <v>11000</v>
      </c>
      <c r="P15" s="73" t="n">
        <v>10400</v>
      </c>
      <c r="Q15" s="33" t="s">
        <v>144</v>
      </c>
    </row>
    <row r="16" customFormat="false" ht="14.25" hidden="false" customHeight="false" outlineLevel="0" collapsed="false">
      <c r="A16" s="33" t="s">
        <v>145</v>
      </c>
      <c r="B16" s="33" t="s">
        <v>141</v>
      </c>
      <c r="C16" s="33" t="s">
        <v>136</v>
      </c>
      <c r="D16" s="33" t="s">
        <v>146</v>
      </c>
      <c r="E16" s="33" t="s">
        <v>102</v>
      </c>
      <c r="F16" s="33" t="s">
        <v>137</v>
      </c>
      <c r="G16" s="70" t="n">
        <v>176</v>
      </c>
      <c r="H16" s="71" t="n">
        <v>160</v>
      </c>
      <c r="I16" s="33" t="n">
        <v>16</v>
      </c>
      <c r="J16" s="72" t="n">
        <v>0.91</v>
      </c>
      <c r="K16" s="38" t="n">
        <v>4800</v>
      </c>
      <c r="L16" s="33" t="n">
        <v>17</v>
      </c>
      <c r="M16" s="38" t="n">
        <v>48000</v>
      </c>
      <c r="N16" s="73" t="n">
        <v>2400</v>
      </c>
      <c r="O16" s="73" t="n">
        <v>7500</v>
      </c>
      <c r="P16" s="73" t="n">
        <v>5100</v>
      </c>
      <c r="Q16" s="33" t="s">
        <v>55</v>
      </c>
    </row>
    <row r="17" customFormat="false" ht="14.25" hidden="false" customHeight="false" outlineLevel="0" collapsed="false">
      <c r="A17" s="33" t="s">
        <v>147</v>
      </c>
      <c r="B17" s="33" t="s">
        <v>143</v>
      </c>
      <c r="C17" s="33" t="s">
        <v>136</v>
      </c>
      <c r="D17" s="33" t="s">
        <v>148</v>
      </c>
      <c r="E17" s="33" t="s">
        <v>104</v>
      </c>
      <c r="F17" s="33" t="s">
        <v>139</v>
      </c>
      <c r="G17" s="70" t="n">
        <v>64</v>
      </c>
      <c r="H17" s="71" t="n">
        <v>0</v>
      </c>
      <c r="I17" s="33" t="n">
        <v>64</v>
      </c>
      <c r="J17" s="72" t="n">
        <v>0</v>
      </c>
      <c r="K17" s="38" t="n">
        <v>19200</v>
      </c>
      <c r="L17" s="33" t="n">
        <v>0</v>
      </c>
      <c r="M17" s="38" t="n">
        <v>0</v>
      </c>
      <c r="N17" s="33" t="n">
        <v>0</v>
      </c>
      <c r="O17" s="73" t="n">
        <v>15000</v>
      </c>
      <c r="P17" s="73" t="n">
        <v>15000</v>
      </c>
      <c r="Q17" s="33" t="s">
        <v>149</v>
      </c>
    </row>
    <row r="18" customFormat="false" ht="14.25" hidden="false" customHeight="false" outlineLevel="0" collapsed="false">
      <c r="A18" s="33" t="s">
        <v>150</v>
      </c>
      <c r="B18" s="33" t="s">
        <v>138</v>
      </c>
      <c r="C18" s="33" t="s">
        <v>136</v>
      </c>
      <c r="D18" s="33" t="s">
        <v>151</v>
      </c>
      <c r="E18" s="33" t="s">
        <v>102</v>
      </c>
      <c r="F18" s="33" t="s">
        <v>137</v>
      </c>
      <c r="G18" s="70" t="n">
        <v>176</v>
      </c>
      <c r="H18" s="71" t="n">
        <v>130</v>
      </c>
      <c r="I18" s="33" t="n">
        <v>46</v>
      </c>
      <c r="J18" s="72" t="n">
        <v>0.74</v>
      </c>
      <c r="K18" s="38" t="n">
        <v>13800</v>
      </c>
      <c r="L18" s="33" t="n">
        <v>12</v>
      </c>
      <c r="M18" s="38" t="n">
        <v>36000</v>
      </c>
      <c r="N18" s="73" t="n">
        <v>1700</v>
      </c>
      <c r="O18" s="73" t="n">
        <v>9000</v>
      </c>
      <c r="P18" s="73" t="n">
        <v>7300</v>
      </c>
      <c r="Q18" s="33" t="s">
        <v>55</v>
      </c>
    </row>
    <row r="19" customFormat="false" ht="14.25" hidden="false" customHeight="false" outlineLevel="0" collapsed="false">
      <c r="A19" s="33" t="s">
        <v>152</v>
      </c>
      <c r="B19" s="33" t="s">
        <v>141</v>
      </c>
      <c r="C19" s="33" t="s">
        <v>136</v>
      </c>
      <c r="D19" s="33" t="s">
        <v>153</v>
      </c>
      <c r="E19" s="33" t="s">
        <v>103</v>
      </c>
      <c r="F19" s="33" t="s">
        <v>139</v>
      </c>
      <c r="G19" s="70" t="n">
        <v>176</v>
      </c>
      <c r="H19" s="71" t="n">
        <v>30</v>
      </c>
      <c r="I19" s="33" t="n">
        <v>146</v>
      </c>
      <c r="J19" s="72" t="n">
        <v>0.17</v>
      </c>
      <c r="K19" s="38" t="n">
        <v>43800</v>
      </c>
      <c r="L19" s="33" t="n">
        <v>3</v>
      </c>
      <c r="M19" s="38" t="n">
        <v>9600</v>
      </c>
      <c r="N19" s="33" t="n">
        <v>500</v>
      </c>
      <c r="O19" s="73" t="n">
        <v>13000</v>
      </c>
      <c r="P19" s="73" t="n">
        <v>12500</v>
      </c>
      <c r="Q19" s="33" t="s">
        <v>154</v>
      </c>
    </row>
    <row r="20" customFormat="false" ht="14.25" hidden="false" customHeight="false" outlineLevel="0" collapsed="false">
      <c r="A20" s="41" t="s">
        <v>155</v>
      </c>
      <c r="B20" s="41" t="s">
        <v>135</v>
      </c>
      <c r="C20" s="41" t="s">
        <v>136</v>
      </c>
      <c r="D20" s="41" t="s">
        <v>156</v>
      </c>
      <c r="E20" s="41" t="s">
        <v>102</v>
      </c>
      <c r="F20" s="41" t="s">
        <v>137</v>
      </c>
      <c r="G20" s="74" t="n">
        <v>176</v>
      </c>
      <c r="H20" s="75" t="n">
        <v>148</v>
      </c>
      <c r="I20" s="41" t="n">
        <v>28</v>
      </c>
      <c r="J20" s="76" t="n">
        <v>0.84</v>
      </c>
      <c r="K20" s="45" t="n">
        <v>8400</v>
      </c>
      <c r="L20" s="41" t="n">
        <v>15</v>
      </c>
      <c r="M20" s="45" t="n">
        <v>42000</v>
      </c>
      <c r="N20" s="77" t="n">
        <v>2000</v>
      </c>
      <c r="O20" s="77" t="n">
        <v>9500</v>
      </c>
      <c r="P20" s="77" t="n">
        <v>7500</v>
      </c>
      <c r="Q20" s="41" t="s">
        <v>55</v>
      </c>
    </row>
    <row r="21" s="12" customFormat="true" ht="14.25" hidden="false" customHeight="false" outlineLevel="0" collapsed="false">
      <c r="A21" s="8" t="s">
        <v>94</v>
      </c>
      <c r="B21" s="10"/>
      <c r="C21" s="10"/>
      <c r="D21" s="10"/>
      <c r="E21" s="10"/>
      <c r="F21" s="10"/>
      <c r="G21" s="78" t="n">
        <f aca="false">SUM(G11:G20)</f>
        <v>1552</v>
      </c>
      <c r="H21" s="78" t="n">
        <f aca="false">SUM(H11:H20)</f>
        <v>908</v>
      </c>
      <c r="I21" s="78" t="n">
        <f aca="false">SUM(I11:I20)</f>
        <v>644</v>
      </c>
      <c r="J21" s="79" t="n">
        <v>0.52</v>
      </c>
      <c r="K21" s="48" t="n">
        <f aca="false">SUM(K11:K20)</f>
        <v>193200</v>
      </c>
      <c r="L21" s="78" t="n">
        <f aca="false">SUM(L11:L20)</f>
        <v>90</v>
      </c>
      <c r="M21" s="48" t="n">
        <f aca="false">SUM(M11:M20)</f>
        <v>264000</v>
      </c>
      <c r="N21" s="80" t="n">
        <f aca="false">SUM(N11:N20)</f>
        <v>12500</v>
      </c>
      <c r="O21" s="80" t="n">
        <f aca="false">SUM(O11:O20)</f>
        <v>104500</v>
      </c>
      <c r="P21" s="80" t="n">
        <f aca="false">SUM(P11:P20)</f>
        <v>92000</v>
      </c>
      <c r="Q21" s="78"/>
    </row>
    <row r="22" customFormat="false" ht="14.25" hidden="false" customHeight="false" outlineLevel="0" collapsed="false">
      <c r="A22" s="12"/>
      <c r="H22" s="16"/>
    </row>
    <row r="23" customFormat="false" ht="14.25" hidden="false" customHeight="false" outlineLevel="0" collapsed="false">
      <c r="B23" s="49"/>
      <c r="H23" s="16"/>
    </row>
    <row r="24" customFormat="false" ht="14.25" hidden="false" customHeight="false" outlineLevel="0" collapsed="false">
      <c r="B24" s="49"/>
      <c r="H24" s="16"/>
    </row>
    <row r="25" customFormat="false" ht="14.25" hidden="false" customHeight="false" outlineLevel="0" collapsed="false">
      <c r="B25" s="49"/>
    </row>
    <row r="26" s="16" customFormat="true" ht="14.25" hidden="false" customHeight="false" outlineLevel="0" collapsed="false">
      <c r="B26" s="81"/>
    </row>
    <row r="27" customFormat="false" ht="14.25" hidden="false" customHeight="false" outlineLevel="0" collapsed="false">
      <c r="B27" s="49"/>
    </row>
    <row r="28" customFormat="false" ht="14.25" hidden="false" customHeight="false" outlineLevel="0" collapsed="false">
      <c r="B28" s="49"/>
    </row>
    <row r="29" customFormat="false" ht="14.25" hidden="false" customHeight="false" outlineLevel="0" collapsed="false">
      <c r="B29" s="82"/>
    </row>
    <row r="30" customFormat="false" ht="14.25" hidden="false" customHeight="false" outlineLevel="0" collapsed="false">
      <c r="B30" s="83"/>
    </row>
    <row r="31" customFormat="false" ht="14.25" hidden="false" customHeight="false" outlineLevel="0" collapsed="false">
      <c r="B31" s="49"/>
    </row>
    <row r="32" customFormat="false" ht="14.25" hidden="false" customHeight="false" outlineLevel="0" collapsed="false">
      <c r="B32" s="83"/>
    </row>
    <row r="33" s="16" customFormat="true" ht="14.25" hidden="false" customHeight="false" outlineLevel="0" collapsed="false">
      <c r="B33" s="81"/>
    </row>
    <row r="35" customFormat="false" ht="14.25" hidden="false" customHeight="false" outlineLevel="0" collapsed="false">
      <c r="A35" s="12"/>
    </row>
    <row r="38" s="16" customFormat="true" ht="14.2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7" activeCellId="0" sqref="B27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.73"/>
    <col collapsed="false" customWidth="true" hidden="false" outlineLevel="0" max="3" min="3" style="0" width="13.67"/>
    <col collapsed="false" customWidth="true" hidden="false" outlineLevel="0" max="4" min="4" style="0" width="17.93"/>
    <col collapsed="false" customWidth="true" hidden="false" outlineLevel="0" max="5" min="5" style="0" width="13.26"/>
    <col collapsed="false" customWidth="true" hidden="false" outlineLevel="0" max="6" min="6" style="0" width="10.13"/>
    <col collapsed="false" customWidth="true" hidden="false" outlineLevel="0" max="8" min="7" style="0" width="17.87"/>
    <col collapsed="false" customWidth="true" hidden="false" outlineLevel="0" max="9" min="9" style="0" width="20.13"/>
  </cols>
  <sheetData>
    <row r="1" customFormat="false" ht="17.35" hidden="false" customHeight="false" outlineLevel="0" collapsed="false">
      <c r="A1" s="7" t="s">
        <v>157</v>
      </c>
    </row>
    <row r="2" customFormat="false" ht="14.25" hidden="false" customHeight="false" outlineLevel="0" collapsed="false">
      <c r="A2" s="0" t="s">
        <v>14</v>
      </c>
      <c r="B2" s="0" t="s">
        <v>15</v>
      </c>
    </row>
    <row r="3" customFormat="false" ht="14.25" hidden="false" customHeight="false" outlineLevel="0" collapsed="false">
      <c r="A3" s="0" t="s">
        <v>158</v>
      </c>
      <c r="B3" s="0" t="s">
        <v>17</v>
      </c>
      <c r="C3" s="0" t="s">
        <v>18</v>
      </c>
      <c r="D3" s="0" t="s">
        <v>159</v>
      </c>
    </row>
    <row r="5" customFormat="false" ht="14.25" hidden="false" customHeight="false" outlineLevel="0" collapsed="false">
      <c r="A5" s="78" t="s">
        <v>22</v>
      </c>
      <c r="B5" s="78" t="s">
        <v>160</v>
      </c>
      <c r="C5" s="78" t="s">
        <v>23</v>
      </c>
      <c r="D5" s="78" t="s">
        <v>161</v>
      </c>
      <c r="E5" s="12"/>
      <c r="F5" s="12"/>
      <c r="G5" s="12"/>
      <c r="H5" s="12"/>
      <c r="I5" s="12"/>
    </row>
    <row r="6" customFormat="false" ht="14.25" hidden="false" customHeight="false" outlineLevel="0" collapsed="false">
      <c r="A6" s="32" t="n">
        <v>30500</v>
      </c>
      <c r="B6" s="32" t="n">
        <v>6580</v>
      </c>
      <c r="C6" s="32" t="n">
        <v>23920</v>
      </c>
      <c r="D6" s="27" t="n">
        <v>78.4</v>
      </c>
      <c r="E6" s="84"/>
      <c r="F6" s="84"/>
    </row>
    <row r="7" customFormat="false" ht="14.25" hidden="false" customHeight="false" outlineLevel="0" collapsed="false">
      <c r="A7" s="85" t="s">
        <v>162</v>
      </c>
      <c r="B7" s="86" t="s">
        <v>163</v>
      </c>
      <c r="C7" s="85" t="s">
        <v>30</v>
      </c>
      <c r="D7" s="53" t="s">
        <v>164</v>
      </c>
      <c r="E7" s="87"/>
      <c r="F7" s="87"/>
    </row>
    <row r="8" customFormat="false" ht="14.25" hidden="false" customHeight="false" outlineLevel="0" collapsed="false">
      <c r="A8" s="88" t="s">
        <v>120</v>
      </c>
      <c r="B8" s="89"/>
      <c r="C8" s="89"/>
      <c r="D8" s="56"/>
      <c r="E8" s="87"/>
      <c r="F8" s="87"/>
    </row>
    <row r="10" s="58" customFormat="true" ht="14.25" hidden="false" customHeight="false" outlineLevel="0" collapsed="false">
      <c r="A10" s="1" t="s">
        <v>165</v>
      </c>
      <c r="B10" s="1" t="s">
        <v>166</v>
      </c>
      <c r="C10" s="1" t="s">
        <v>38</v>
      </c>
      <c r="D10" s="1" t="s">
        <v>22</v>
      </c>
      <c r="E10" s="1" t="s">
        <v>160</v>
      </c>
      <c r="F10" s="1" t="s">
        <v>23</v>
      </c>
      <c r="G10" s="90" t="s">
        <v>161</v>
      </c>
    </row>
    <row r="11" customFormat="false" ht="14.25" hidden="false" customHeight="false" outlineLevel="0" collapsed="false">
      <c r="A11" s="27" t="s">
        <v>167</v>
      </c>
      <c r="B11" s="27" t="s">
        <v>168</v>
      </c>
      <c r="C11" s="27" t="s">
        <v>168</v>
      </c>
      <c r="D11" s="32" t="n">
        <v>30500</v>
      </c>
      <c r="E11" s="32" t="n">
        <v>6580</v>
      </c>
      <c r="F11" s="32" t="n">
        <v>23920</v>
      </c>
      <c r="G11" s="27" t="n">
        <v>78.4</v>
      </c>
    </row>
    <row r="12" customFormat="false" ht="14.25" hidden="false" customHeight="false" outlineLevel="0" collapsed="false">
      <c r="A12" s="33" t="s">
        <v>169</v>
      </c>
      <c r="B12" s="33" t="s">
        <v>168</v>
      </c>
      <c r="C12" s="33" t="s">
        <v>168</v>
      </c>
      <c r="D12" s="38" t="n">
        <v>14000</v>
      </c>
      <c r="E12" s="38" t="n">
        <v>2980</v>
      </c>
      <c r="F12" s="38" t="n">
        <v>11020</v>
      </c>
      <c r="G12" s="33" t="n">
        <v>78.7</v>
      </c>
    </row>
    <row r="13" customFormat="false" ht="14.25" hidden="false" customHeight="false" outlineLevel="0" collapsed="false">
      <c r="A13" s="33" t="s">
        <v>170</v>
      </c>
      <c r="B13" s="33" t="s">
        <v>168</v>
      </c>
      <c r="C13" s="33" t="s">
        <v>168</v>
      </c>
      <c r="D13" s="38" t="n">
        <v>8500</v>
      </c>
      <c r="E13" s="38" t="n">
        <v>1850</v>
      </c>
      <c r="F13" s="38" t="n">
        <v>6650</v>
      </c>
      <c r="G13" s="33" t="n">
        <v>78.2</v>
      </c>
    </row>
    <row r="14" customFormat="false" ht="14.25" hidden="false" customHeight="false" outlineLevel="0" collapsed="false">
      <c r="A14" s="33" t="s">
        <v>171</v>
      </c>
      <c r="B14" s="33" t="s">
        <v>168</v>
      </c>
      <c r="C14" s="33" t="s">
        <v>168</v>
      </c>
      <c r="D14" s="38" t="n">
        <v>8000</v>
      </c>
      <c r="E14" s="38" t="n">
        <v>1750</v>
      </c>
      <c r="F14" s="38" t="n">
        <v>6250</v>
      </c>
      <c r="G14" s="33" t="n">
        <v>78.1</v>
      </c>
    </row>
    <row r="15" customFormat="false" ht="14.25" hidden="false" customHeight="false" outlineLevel="0" collapsed="false">
      <c r="A15" s="33" t="s">
        <v>172</v>
      </c>
      <c r="B15" s="33" t="s">
        <v>168</v>
      </c>
      <c r="C15" s="33" t="s">
        <v>168</v>
      </c>
      <c r="D15" s="38" t="n">
        <v>0</v>
      </c>
      <c r="E15" s="38" t="n">
        <v>0</v>
      </c>
      <c r="F15" s="38" t="n">
        <v>0</v>
      </c>
      <c r="G15" s="37" t="s">
        <v>55</v>
      </c>
    </row>
    <row r="16" customFormat="false" ht="14.25" hidden="false" customHeight="false" outlineLevel="0" collapsed="false">
      <c r="A16" s="33" t="s">
        <v>168</v>
      </c>
      <c r="B16" s="33" t="s">
        <v>50</v>
      </c>
      <c r="C16" s="33" t="s">
        <v>168</v>
      </c>
      <c r="D16" s="38" t="n">
        <v>14000</v>
      </c>
      <c r="E16" s="38" t="n">
        <v>2980</v>
      </c>
      <c r="F16" s="38" t="n">
        <v>11020</v>
      </c>
      <c r="G16" s="33" t="n">
        <v>78.7</v>
      </c>
    </row>
    <row r="17" customFormat="false" ht="14.25" hidden="false" customHeight="false" outlineLevel="0" collapsed="false">
      <c r="A17" s="33" t="s">
        <v>168</v>
      </c>
      <c r="B17" s="33" t="s">
        <v>65</v>
      </c>
      <c r="C17" s="33" t="s">
        <v>168</v>
      </c>
      <c r="D17" s="38" t="n">
        <v>8500</v>
      </c>
      <c r="E17" s="38" t="n">
        <v>1850</v>
      </c>
      <c r="F17" s="38" t="n">
        <v>6650</v>
      </c>
      <c r="G17" s="33" t="n">
        <v>78.2</v>
      </c>
    </row>
    <row r="18" customFormat="false" ht="14.25" hidden="false" customHeight="false" outlineLevel="0" collapsed="false">
      <c r="A18" s="33" t="s">
        <v>168</v>
      </c>
      <c r="B18" s="33" t="s">
        <v>73</v>
      </c>
      <c r="C18" s="33" t="s">
        <v>168</v>
      </c>
      <c r="D18" s="38" t="n">
        <v>8000</v>
      </c>
      <c r="E18" s="38" t="n">
        <v>1750</v>
      </c>
      <c r="F18" s="38" t="n">
        <v>6250</v>
      </c>
      <c r="G18" s="33" t="n">
        <v>78.1</v>
      </c>
    </row>
    <row r="19" customFormat="false" ht="14.25" hidden="false" customHeight="false" outlineLevel="0" collapsed="false">
      <c r="A19" s="33" t="s">
        <v>168</v>
      </c>
      <c r="B19" s="33" t="s">
        <v>168</v>
      </c>
      <c r="C19" s="33" t="s">
        <v>51</v>
      </c>
      <c r="D19" s="38" t="n">
        <v>14000</v>
      </c>
      <c r="E19" s="38" t="n">
        <v>2980</v>
      </c>
      <c r="F19" s="38" t="n">
        <v>11020</v>
      </c>
      <c r="G19" s="33" t="n">
        <v>78.7</v>
      </c>
    </row>
    <row r="20" customFormat="false" ht="14.25" hidden="false" customHeight="false" outlineLevel="0" collapsed="false">
      <c r="A20" s="33" t="s">
        <v>168</v>
      </c>
      <c r="B20" s="33" t="s">
        <v>168</v>
      </c>
      <c r="C20" s="33" t="s">
        <v>66</v>
      </c>
      <c r="D20" s="38" t="n">
        <v>8500</v>
      </c>
      <c r="E20" s="38" t="n">
        <v>1850</v>
      </c>
      <c r="F20" s="38" t="n">
        <v>6650</v>
      </c>
      <c r="G20" s="33" t="n">
        <v>78.2</v>
      </c>
    </row>
    <row r="21" customFormat="false" ht="14.25" hidden="false" customHeight="false" outlineLevel="0" collapsed="false">
      <c r="A21" s="41" t="s">
        <v>168</v>
      </c>
      <c r="B21" s="41" t="s">
        <v>168</v>
      </c>
      <c r="C21" s="41" t="s">
        <v>74</v>
      </c>
      <c r="D21" s="45" t="n">
        <v>8000</v>
      </c>
      <c r="E21" s="45" t="n">
        <v>1750</v>
      </c>
      <c r="F21" s="45" t="n">
        <v>6250</v>
      </c>
      <c r="G21" s="41" t="n">
        <v>78.1</v>
      </c>
    </row>
    <row r="28" customFormat="false" ht="14.25" hidden="false" customHeight="false" outlineLevel="0" collapsed="false">
      <c r="A28" s="12"/>
    </row>
    <row r="34" customFormat="false" ht="14.25" hidden="false" customHeight="false" outlineLevel="0" collapsed="false">
      <c r="A34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Lecoo</dc:creator>
  <dc:description/>
  <dc:language>ru-RU</dc:language>
  <cp:lastModifiedBy>Перегудова Екатерина Андреевна</cp:lastModifiedBy>
  <dcterms:modified xsi:type="dcterms:W3CDTF">2026-06-02T07:55:31Z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